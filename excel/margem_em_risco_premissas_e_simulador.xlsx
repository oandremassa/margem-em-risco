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c419c8284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02d30b3977de4dea"/>
    <x:sheet xmlns:r="http://schemas.openxmlformats.org/officeDocument/2006/relationships" name="Metas por serviço" sheetId="2" r:id="R0be4e38a6eda4429"/>
    <x:sheet xmlns:r="http://schemas.openxmlformats.org/officeDocument/2006/relationships" name="Pesos de risco" sheetId="3" r:id="R8b384893cc6c4d64"/>
    <x:sheet xmlns:r="http://schemas.openxmlformats.org/officeDocument/2006/relationships" name="Recuperabilidade" sheetId="4" r:id="R9e8b2ecd0a3e4096"/>
    <x:sheet xmlns:r="http://schemas.openxmlformats.org/officeDocument/2006/relationships" name="Faixas de risco" sheetId="5" r:id="Re3ea79a324204771"/>
    <x:sheet xmlns:r="http://schemas.openxmlformats.org/officeDocument/2006/relationships" name="Simulador" sheetId="6" r:id="R85bf582efb6c4b84"/>
    <x:sheet xmlns:r="http://schemas.openxmlformats.org/officeDocument/2006/relationships" name="Mapa do Power BI" sheetId="7" r:id="R46a10914b4c6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"/>
    <x:numFmt numFmtId="202" formatCode="0%"/>
    <x:numFmt numFmtId="203" formatCode="R$ #,##0.00"/>
    <x:numFmt numFmtId="204" formatCode="R$ #,##0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  <x:font>
      <x:b/>
      <x:sz val="11"/>
      <x:color rgb="FF2F6B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B1F33"/>
      <x:name val="Aptos"/>
    </x:font>
    <x:font>
      <x:b/>
      <x:sz val="11"/>
      <x:color rgb="FF2F6BFF"/>
      <x:name val="Aptos"/>
    </x:font>
    <x:font>
      <x:sz val="11"/>
      <x:color rgb="FF0B1F33"/>
      <x:name val="Carlito"/>
    </x:font>
    <x:font>
      <x:b/>
      <x:sz val="18"/>
      <x:color rgb="FF0B1F33"/>
      <x:name val="Carlito"/>
    </x:font>
    <x:font>
      <x:b/>
      <x:sz val="11"/>
      <x:color rgb="FF667085"/>
      <x:name val="Carlito"/>
    </x:font>
    <x:font>
      <x:sz val="11"/>
      <x:color rgb="FF0B1F33"/>
      <x:name val="Aptos"/>
    </x:font>
    <x:font>
      <x:b/>
      <x:sz val="11"/>
      <x:color rgb="FF667085"/>
      <x:name val="Aptos"/>
    </x:font>
    <x:font>
      <x:b/>
      <x:sz val="18"/>
      <x:color rgb="FF0B1F33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4F6F8"/>
      </x:patternFill>
    </x:fill>
    <x:fill>
      <x:patternFill patternType="solid">
        <x:fgColor rgb="FFDDE8FF"/>
      </x:patternFill>
    </x:fill>
    <x:fill>
      <x:patternFill patternType="solid">
        <x:fgColor rgb="FFE8EDF3"/>
      </x:patternFill>
    </x:fill>
    <x:fill>
      <x:patternFill patternType="solid">
        <x:fgColor rgb="FFFFFFFF"/>
      </x:patternFill>
    </x:fill>
    <x:fill>
      <x:patternFill patternType="solid">
        <x:fgColor rgb="FFE4F4EA"/>
      </x:patternFill>
    </x:fill>
    <x:fill>
      <x:patternFill patternType="solid">
        <x:fgColor rgb="FFFFF4D6"/>
      </x:patternFill>
    </x:fill>
    <x:fill>
      <x:patternFill patternType="solid">
        <x:fgColor rgb="FFFFE7C2"/>
      </x:patternFill>
    </x:fill>
    <x:fill>
      <x:patternFill patternType="solid">
        <x:fgColor rgb="FFFDE7E7"/>
      </x:patternFill>
    </x:fill>
  </x:fills>
  <x:borders count="28">
    <x:border/>
    <x:border/>
    <x:border>
      <x:bottom style="thin">
        <x:color rgb="FFD0D5DD"/>
      </x:bottom>
    </x:border>
    <x:border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3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10" fillId="4" borderId="4" xfId="0" applyNumberFormat="1" applyFont="1" applyFill="1" applyBorder="1"/>
    <x:xf numFmtId="0" fontId="10" fillId="4" borderId="5" xfId="0" applyNumberFormat="1" applyFont="1" applyFill="1" applyBorder="1"/>
    <x:xf numFmtId="0" fontId="10" fillId="4" borderId="6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2" xfId="0" applyNumberFormat="1" applyFont="1" applyFill="1" applyBorder="1"/>
    <x:xf numFmtId="0" fontId="10" fillId="4" borderId="10" xfId="0" applyNumberFormat="1" applyFont="1" applyFill="1" applyBorder="1"/>
    <x:xf numFmtId="0" fontId="10" fillId="4" borderId="1" xfId="0" applyNumberFormat="1" applyFont="1" applyFill="1" applyBorder="1"/>
    <x:xf numFmtId="0" fontId="10" fillId="4" borderId="11" xfId="0" applyNumberFormat="1" applyFont="1" applyFill="1" applyBorder="1"/>
    <x:xf numFmtId="0" fontId="10" fillId="4" borderId="12" xfId="0" applyNumberFormat="1" applyFont="1" applyFill="1" applyBorder="1"/>
    <x:xf numFmtId="0" fontId="10" fillId="4" borderId="13" xfId="0" applyNumberFormat="1" applyFont="1" applyFill="1" applyBorder="1"/>
    <x:xf numFmtId="0" fontId="10" fillId="4" borderId="14" xfId="0" applyNumberFormat="1" applyFont="1" applyFill="1" applyBorder="1"/>
    <x:xf numFmtId="0" fontId="10" fillId="4" borderId="15" xfId="0" applyNumberFormat="1" applyFont="1" applyFill="1" applyBorder="1"/>
    <x:xf numFmtId="0" fontId="10" fillId="4" borderId="16" xfId="0" applyNumberFormat="1" applyFont="1" applyFill="1" applyBorder="1"/>
    <x:xf numFmtId="0" fontId="10" fillId="4" borderId="3" xfId="0" applyNumberFormat="1" applyFont="1" applyFill="1" applyBorder="1"/>
    <x:xf numFmtId="0" fontId="10" fillId="4" borderId="17" xfId="0" applyNumberFormat="1" applyFont="1" applyFill="1" applyBorder="1"/>
    <x:xf numFmtId="200" fontId="10" fillId="4" borderId="5" xfId="0" applyNumberFormat="1" applyFont="1" applyFill="1" applyBorder="1"/>
    <x:xf numFmtId="200" fontId="10" fillId="4" borderId="0" xfId="0" applyNumberFormat="1" applyFont="1" applyFill="1" applyBorder="1"/>
    <x:xf numFmtId="200" fontId="10" fillId="4" borderId="2" xfId="0" applyNumberFormat="1" applyFont="1" applyFill="1" applyBorder="1"/>
    <x:xf numFmtId="200" fontId="10" fillId="4" borderId="12" xfId="0" applyNumberFormat="1" applyFont="1" applyFill="1" applyBorder="1"/>
    <x:xf numFmtId="200" fontId="10" fillId="4" borderId="1" xfId="0" applyNumberFormat="1" applyFont="1" applyFill="1" applyBorder="1"/>
    <x:xf numFmtId="200" fontId="10" fillId="4" borderId="3" xfId="0" applyNumberFormat="1" applyFont="1" applyFill="1" applyBorder="1"/>
    <x:xf numFmtId="201" fontId="10" fillId="4" borderId="6" xfId="0" applyNumberFormat="1" applyFont="1" applyFill="1" applyBorder="1"/>
    <x:xf numFmtId="201" fontId="10" fillId="4" borderId="8" xfId="0" applyNumberFormat="1" applyFont="1" applyFill="1" applyBorder="1"/>
    <x:xf numFmtId="201" fontId="10" fillId="4" borderId="10" xfId="0" applyNumberFormat="1" applyFont="1" applyFill="1" applyBorder="1"/>
    <x:xf numFmtId="201" fontId="10" fillId="4" borderId="13" xfId="0" applyNumberFormat="1" applyFont="1" applyFill="1" applyBorder="1"/>
    <x:xf numFmtId="201" fontId="10" fillId="4" borderId="15" xfId="0" applyNumberFormat="1" applyFont="1" applyFill="1" applyBorder="1"/>
    <x:xf numFmtId="201" fontId="10" fillId="4" borderId="17" xfId="0" applyNumberFormat="1" applyFont="1" applyFill="1" applyBorder="1"/>
    <x:xf numFmtId="202" fontId="10" fillId="4" borderId="5" xfId="0" applyNumberFormat="1" applyFont="1" applyFill="1" applyBorder="1"/>
    <x:xf numFmtId="202" fontId="10" fillId="4" borderId="0" xfId="0" applyNumberFormat="1" applyFont="1" applyFill="1" applyBorder="1"/>
    <x:xf numFmtId="202" fontId="10" fillId="4" borderId="2" xfId="0" applyNumberFormat="1" applyFont="1" applyFill="1" applyBorder="1"/>
    <x:xf numFmtId="202" fontId="10" fillId="4" borderId="12" xfId="0" applyNumberFormat="1" applyFont="1" applyFill="1" applyBorder="1"/>
    <x:xf numFmtId="202" fontId="10" fillId="4" borderId="1" xfId="0" applyNumberFormat="1" applyFont="1" applyFill="1" applyBorder="1"/>
    <x:xf numFmtId="202" fontId="10" fillId="4" borderId="3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8" xfId="0" applyNumberFormat="1" applyFont="1" applyFill="1" applyBorder="1"/>
    <x:xf numFmtId="0" fontId="3" fillId="6" borderId="19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20" xfId="0" applyNumberFormat="1" applyFont="1" applyFill="1" applyBorder="1"/>
    <x:xf numFmtId="0" fontId="3" fillId="6" borderId="21" xfId="0" applyNumberFormat="1" applyFont="1" applyFill="1" applyBorder="1"/>
    <x:xf numFmtId="202" fontId="3" fillId="6" borderId="19" xfId="0" applyNumberFormat="1" applyFont="1" applyFill="1" applyBorder="1"/>
    <x:xf numFmtId="202" fontId="3" fillId="6" borderId="21" xfId="0" applyNumberFormat="1" applyFont="1" applyFill="1" applyBorder="1"/>
    <x:xf numFmtId="0" fontId="10" fillId="4" borderId="6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wrapText="1"/>
    </x:xf>
    <x:xf numFmtId="0" fontId="10" fillId="4" borderId="13" xfId="0" applyNumberFormat="1" applyFont="1" applyFill="1" applyBorder="1" applyAlignment="1">
      <x:alignment wrapText="1"/>
    </x:xf>
    <x:xf numFmtId="0" fontId="10" fillId="4" borderId="15" xfId="0" applyNumberFormat="1" applyFont="1" applyFill="1" applyBorder="1" applyAlignment="1">
      <x:alignment wrapText="1"/>
    </x:xf>
    <x:xf numFmtId="0" fontId="10" fillId="4" borderId="17" xfId="0" applyNumberFormat="1" applyFont="1" applyFill="1" applyBorder="1" applyAlignment="1">
      <x:alignment wrapText="1"/>
    </x:xf>
    <x:xf numFmtId="201" fontId="10" fillId="4" borderId="4" xfId="0" applyNumberFormat="1" applyFont="1" applyFill="1" applyBorder="1"/>
    <x:xf numFmtId="201" fontId="10" fillId="4" borderId="5" xfId="0" applyNumberFormat="1" applyFont="1" applyFill="1" applyBorder="1"/>
    <x:xf numFmtId="201" fontId="10" fillId="4" borderId="7" xfId="0" applyNumberFormat="1" applyFont="1" applyFill="1" applyBorder="1"/>
    <x:xf numFmtId="201" fontId="10" fillId="4" borderId="0" xfId="0" applyNumberFormat="1" applyFont="1" applyFill="1" applyBorder="1"/>
    <x:xf numFmtId="201" fontId="10" fillId="4" borderId="9" xfId="0" applyNumberFormat="1" applyFont="1" applyFill="1" applyBorder="1"/>
    <x:xf numFmtId="201" fontId="10" fillId="4" borderId="2" xfId="0" applyNumberFormat="1" applyFont="1" applyFill="1" applyBorder="1"/>
    <x:xf numFmtId="201" fontId="10" fillId="4" borderId="11" xfId="0" applyNumberFormat="1" applyFont="1" applyFill="1" applyBorder="1"/>
    <x:xf numFmtId="201" fontId="10" fillId="4" borderId="12" xfId="0" applyNumberFormat="1" applyFont="1" applyFill="1" applyBorder="1"/>
    <x:xf numFmtId="201" fontId="10" fillId="4" borderId="14" xfId="0" applyNumberFormat="1" applyFont="1" applyFill="1" applyBorder="1"/>
    <x:xf numFmtId="201" fontId="10" fillId="4" borderId="1" xfId="0" applyNumberFormat="1" applyFont="1" applyFill="1" applyBorder="1"/>
    <x:xf numFmtId="201" fontId="10" fillId="4" borderId="16" xfId="0" applyNumberFormat="1" applyFont="1" applyFill="1" applyBorder="1"/>
    <x:xf numFmtId="201" fontId="10" fillId="4" borderId="3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8" borderId="0" xfId="0" applyNumberFormat="1" applyFont="1" applyFill="1" applyBorder="1"/>
    <x:xf numFmtId="0" fontId="10" fillId="8" borderId="8" xfId="0" applyNumberFormat="1" applyFont="1" applyFill="1" applyBorder="1"/>
    <x:xf numFmtId="0" fontId="10" fillId="8" borderId="1" xfId="0" applyNumberFormat="1" applyFont="1" applyFill="1" applyBorder="1"/>
    <x:xf numFmtId="0" fontId="10" fillId="8" borderId="15" xfId="0" applyNumberFormat="1" applyFont="1" applyFill="1" applyBorder="1"/>
    <x:xf numFmtId="0" fontId="10" fillId="9" borderId="0" xfId="0" applyNumberFormat="1" applyFont="1" applyFill="1" applyBorder="1"/>
    <x:xf numFmtId="0" fontId="10" fillId="9" borderId="8" xfId="0" applyNumberFormat="1" applyFont="1" applyFill="1" applyBorder="1"/>
    <x:xf numFmtId="0" fontId="10" fillId="9" borderId="1" xfId="0" applyNumberFormat="1" applyFont="1" applyFill="1" applyBorder="1"/>
    <x:xf numFmtId="0" fontId="10" fillId="9" borderId="15" xfId="0" applyNumberFormat="1" applyFont="1" applyFill="1" applyBorder="1"/>
    <x:xf numFmtId="0" fontId="10" fillId="10" borderId="2" xfId="0" applyNumberFormat="1" applyFont="1" applyFill="1" applyBorder="1"/>
    <x:xf numFmtId="0" fontId="10" fillId="10" borderId="10" xfId="0" applyNumberFormat="1" applyFont="1" applyFill="1" applyBorder="1"/>
    <x:xf numFmtId="0" fontId="10" fillId="10" borderId="3" xfId="0" applyNumberFormat="1" applyFont="1" applyFill="1" applyBorder="1"/>
    <x:xf numFmtId="0" fontId="10" fillId="10" borderId="17" xfId="0" applyNumberFormat="1" applyFont="1" applyFill="1" applyBorder="1"/>
    <x:xf numFmtId="0" fontId="10" fillId="4" borderId="22" xfId="0" applyNumberFormat="1" applyFont="1" applyFill="1" applyBorder="1"/>
    <x:xf numFmtId="0" fontId="10" fillId="4" borderId="23" xfId="0" applyNumberFormat="1" applyFont="1" applyFill="1" applyBorder="1"/>
    <x:xf numFmtId="0" fontId="10" fillId="4" borderId="24" xfId="0" applyNumberFormat="1" applyFont="1" applyFill="1" applyBorder="1"/>
    <x:xf numFmtId="0" fontId="10" fillId="4" borderId="25" xfId="0" applyNumberFormat="1" applyFont="1" applyFill="1" applyBorder="1"/>
    <x:xf numFmtId="0" fontId="10" fillId="4" borderId="26" xfId="0" applyNumberFormat="1" applyFont="1" applyFill="1" applyBorder="1"/>
    <x:xf numFmtId="0" fontId="10" fillId="4" borderId="27" xfId="0" applyNumberFormat="1" applyFont="1" applyFill="1" applyBorder="1"/>
    <x:xf numFmtId="0" fontId="10" fillId="6" borderId="23" xfId="0" applyNumberFormat="1" applyFont="1" applyFill="1" applyBorder="1"/>
    <x:xf numFmtId="0" fontId="3" fillId="6" borderId="23" xfId="0" applyNumberFormat="1" applyFont="1" applyFill="1" applyBorder="1"/>
    <x:xf numFmtId="0" fontId="3" fillId="6" borderId="22" xfId="0" applyNumberFormat="1" applyFont="1" applyFill="1" applyBorder="1"/>
    <x:xf numFmtId="0" fontId="3" fillId="6" borderId="24" xfId="0" applyNumberFormat="1" applyFont="1" applyFill="1" applyBorder="1"/>
    <x:xf numFmtId="0" fontId="10" fillId="6" borderId="26" xfId="0" applyNumberFormat="1" applyFont="1" applyFill="1" applyBorder="1"/>
    <x:xf numFmtId="0" fontId="3" fillId="6" borderId="26" xfId="0" applyNumberFormat="1" applyFont="1" applyFill="1" applyBorder="1"/>
    <x:xf numFmtId="0" fontId="3" fillId="6" borderId="25" xfId="0" applyNumberFormat="1" applyFont="1" applyFill="1" applyBorder="1"/>
    <x:xf numFmtId="0" fontId="3" fillId="6" borderId="27" xfId="0" applyNumberFormat="1" applyFont="1" applyFill="1" applyBorder="1"/>
    <x:xf numFmtId="203" fontId="10" fillId="4" borderId="23" xfId="0" applyNumberFormat="1" applyFont="1" applyFill="1" applyBorder="1"/>
    <x:xf numFmtId="203" fontId="3" fillId="6" borderId="22" xfId="0" applyNumberFormat="1" applyFont="1" applyFill="1" applyBorder="1"/>
    <x:xf numFmtId="203" fontId="3" fillId="6" borderId="23" xfId="0" applyNumberFormat="1" applyFont="1" applyFill="1" applyBorder="1"/>
    <x:xf numFmtId="203" fontId="10" fillId="4" borderId="26" xfId="0" applyNumberFormat="1" applyFont="1" applyFill="1" applyBorder="1"/>
    <x:xf numFmtId="203" fontId="3" fillId="6" borderId="25" xfId="0" applyNumberFormat="1" applyFont="1" applyFill="1" applyBorder="1"/>
    <x:xf numFmtId="203" fontId="3" fillId="6" borderId="26" xfId="0" applyNumberFormat="1" applyFont="1" applyFill="1" applyBorder="1"/>
    <x:xf numFmtId="200" fontId="3" fillId="6" borderId="24" xfId="0" applyNumberFormat="1" applyFont="1" applyFill="1" applyBorder="1"/>
    <x:xf numFmtId="200" fontId="10" fillId="4" borderId="24" xfId="0" applyNumberFormat="1" applyFont="1" applyFill="1" applyBorder="1"/>
    <x:xf numFmtId="200" fontId="3" fillId="6" borderId="27" xfId="0" applyNumberFormat="1" applyFont="1" applyFill="1" applyBorder="1"/>
    <x:xf numFmtId="200" fontId="10" fillId="4" borderId="27" xfId="0" applyNumberFormat="1" applyFont="1" applyFill="1" applyBorder="1"/>
    <x:xf numFmtId="200" fontId="10" fillId="4" borderId="22" xfId="0" applyNumberFormat="1" applyFont="1" applyFill="1" applyBorder="1"/>
    <x:xf numFmtId="200" fontId="10" fillId="4" borderId="25" xfId="0" applyNumberFormat="1" applyFont="1" applyFill="1" applyBorder="1"/>
    <x:xf numFmtId="200" fontId="10" fillId="4" borderId="23" xfId="0" applyNumberFormat="1" applyFont="1" applyFill="1" applyBorder="1"/>
    <x:xf numFmtId="200" fontId="10" fillId="4" borderId="26" xfId="0" applyNumberFormat="1" applyFont="1" applyFill="1" applyBorder="1"/>
    <x:xf numFmtId="200" fontId="3" fillId="6" borderId="23" xfId="0" applyNumberFormat="1" applyFont="1" applyFill="1" applyBorder="1"/>
    <x:xf numFmtId="200" fontId="3" fillId="6" borderId="26" xfId="0" applyNumberFormat="1" applyFont="1" applyFill="1" applyBorder="1"/>
    <x:xf numFmtId="0" fontId="11" fillId="6" borderId="0" xfId="0" applyNumberFormat="1" applyFont="1" applyFill="1" applyBorder="1"/>
    <x:xf numFmtId="0" fontId="11" fillId="6" borderId="4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4" xfId="0" applyNumberFormat="1" applyFont="1" applyFill="1" applyBorder="1" applyAlignment="1">
      <x:alignment horizontal="center"/>
    </x:xf>
    <x:xf numFmtId="0" fontId="11" fillId="6" borderId="6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1" fillId="6" borderId="8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6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10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/>
    <x:xf numFmtId="0" fontId="11" fillId="6" borderId="11" xfId="0" applyNumberFormat="1" applyFont="1" applyFill="1" applyBorder="1"/>
    <x:xf numFmtId="0" fontId="11" fillId="6" borderId="13" xfId="0" applyNumberFormat="1" applyFont="1" applyFill="1" applyBorder="1"/>
    <x:xf numFmtId="0" fontId="11" fillId="6" borderId="14" xfId="0" applyNumberFormat="1" applyFont="1" applyFill="1" applyBorder="1"/>
    <x:xf numFmtId="0" fontId="11" fillId="6" borderId="15" xfId="0" applyNumberFormat="1" applyFont="1" applyFill="1" applyBorder="1"/>
    <x:xf numFmtId="0" fontId="11" fillId="6" borderId="16" xfId="0" applyNumberFormat="1" applyFont="1" applyFill="1" applyBorder="1"/>
    <x:xf numFmtId="0" fontId="11" fillId="6" borderId="17" xfId="0" applyNumberFormat="1" applyFont="1" applyFill="1" applyBorder="1"/>
    <x:xf numFmtId="0" fontId="11" fillId="6" borderId="11" xfId="0" applyNumberFormat="1" applyFont="1" applyFill="1" applyBorder="1" applyAlignment="1">
      <x:alignment horizontal="center"/>
    </x:xf>
    <x:xf numFmtId="0" fontId="11" fillId="6" borderId="13" xfId="0" applyNumberFormat="1" applyFont="1" applyFill="1" applyBorder="1" applyAlignment="1">
      <x:alignment horizontal="center"/>
    </x:xf>
    <x:xf numFmtId="0" fontId="11" fillId="6" borderId="14" xfId="0" applyNumberFormat="1" applyFont="1" applyFill="1" applyBorder="1" applyAlignment="1">
      <x:alignment horizontal="center"/>
    </x:xf>
    <x:xf numFmtId="0" fontId="11" fillId="6" borderId="15" xfId="0" applyNumberFormat="1" applyFont="1" applyFill="1" applyBorder="1" applyAlignment="1">
      <x:alignment horizontal="center"/>
    </x:xf>
    <x:xf numFmtId="0" fontId="11" fillId="6" borderId="16" xfId="0" applyNumberFormat="1" applyFont="1" applyFill="1" applyBorder="1" applyAlignment="1">
      <x:alignment horizontal="center"/>
    </x:xf>
    <x:xf numFmtId="0" fontId="11" fillId="6" borderId="17" xfId="0" applyNumberFormat="1" applyFont="1" applyFill="1" applyBorder="1" applyAlignment="1">
      <x:alignment horizont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6" borderId="13" xfId="0" applyNumberFormat="1" applyFont="1" applyFill="1" applyBorder="1" applyAlignment="1">
      <x:alignment horizontal="center" vertical="center"/>
    </x:xf>
    <x:xf numFmtId="0" fontId="11" fillId="6" borderId="14" xfId="0" applyNumberFormat="1" applyFont="1" applyFill="1" applyBorder="1" applyAlignment="1">
      <x:alignment horizontal="center" vertical="center"/>
    </x:xf>
    <x:xf numFmtId="0" fontId="11" fillId="6" borderId="15" xfId="0" applyNumberFormat="1" applyFont="1" applyFill="1" applyBorder="1" applyAlignment="1">
      <x:alignment horizontal="center" vertical="center"/>
    </x:xf>
    <x:xf numFmtId="0" fontId="11" fillId="6" borderId="16" xfId="0" applyNumberFormat="1" applyFont="1" applyFill="1" applyBorder="1" applyAlignment="1">
      <x:alignment horizontal="center" vertical="center"/>
    </x:xf>
    <x:xf numFmtId="0" fontId="11" fillId="6" borderId="17" xfId="0" applyNumberFormat="1" applyFont="1" applyFill="1" applyBorder="1" applyAlignment="1">
      <x:alignment horizontal="center" vertical="center"/>
    </x:xf>
    <x:xf numFmtId="200" fontId="11" fillId="6" borderId="4" xfId="0" applyNumberFormat="1" applyFont="1" applyFill="1" applyBorder="1" applyAlignment="1">
      <x:alignment horizontal="center" vertical="center"/>
    </x:xf>
    <x:xf numFmtId="200" fontId="11" fillId="6" borderId="1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204" fontId="11" fillId="6" borderId="4" xfId="0" applyNumberFormat="1" applyFont="1" applyFill="1" applyBorder="1" applyAlignment="1">
      <x:alignment horizontal="center" vertical="center"/>
    </x:xf>
    <x:xf numFmtId="204" fontId="11" fillId="6" borderId="1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3" fillId="4" borderId="22" xfId="0" applyNumberFormat="1" applyFont="1" applyFill="1" applyBorder="1"/>
    <x:xf numFmtId="200" fontId="13" fillId="4" borderId="22" xfId="0" applyNumberFormat="1" applyFont="1" applyFill="1" applyBorder="1"/>
    <x:xf numFmtId="203" fontId="13" fillId="4" borderId="23" xfId="0" applyNumberFormat="1" applyFont="1" applyFill="1" applyBorder="1"/>
    <x:xf numFmtId="200" fontId="13" fillId="4" borderId="23" xfId="0" applyNumberFormat="1" applyFont="1" applyFill="1" applyBorder="1"/>
    <x:xf numFmtId="203" fontId="8" fillId="6" borderId="22" xfId="0" applyNumberFormat="1" applyFont="1" applyFill="1" applyBorder="1"/>
    <x:xf numFmtId="203" fontId="8" fillId="6" borderId="23" xfId="0" applyNumberFormat="1" applyFont="1" applyFill="1" applyBorder="1"/>
    <x:xf numFmtId="200" fontId="13" fillId="4" borderId="24" xfId="0" applyNumberFormat="1" applyFont="1" applyFill="1" applyBorder="1"/>
    <x:xf numFmtId="200" fontId="8" fillId="6" borderId="24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200" fontId="15" fillId="6" borderId="4" xfId="0" applyNumberFormat="1" applyFont="1" applyFill="1" applyBorder="1" applyAlignment="1">
      <x:alignment horizontal="center" vertical="center"/>
    </x:xf>
    <x:xf numFmtId="0" fontId="15" fillId="6" borderId="6" xfId="0" applyNumberFormat="1" applyFont="1" applyFill="1" applyBorder="1" applyAlignment="1">
      <x:alignment horizontal="center" vertical="center"/>
    </x:xf>
    <x:xf numFmtId="0" fontId="15" fillId="6" borderId="7" xfId="0" applyNumberFormat="1" applyFont="1" applyFill="1" applyBorder="1" applyAlignment="1">
      <x:alignment horizontal="center" vertical="center"/>
    </x:xf>
    <x:xf numFmtId="0" fontId="15" fillId="6" borderId="8" xfId="0" applyNumberFormat="1" applyFont="1" applyFill="1" applyBorder="1" applyAlignment="1">
      <x:alignment horizontal="center" vertical="center"/>
    </x:xf>
    <x:xf numFmtId="0" fontId="15" fillId="6" borderId="9" xfId="0" applyNumberFormat="1" applyFont="1" applyFill="1" applyBorder="1" applyAlignment="1">
      <x:alignment horizontal="center" vertical="center"/>
    </x:xf>
    <x:xf numFmtId="0" fontId="15" fillId="6" borderId="10" xfId="0" applyNumberFormat="1" applyFont="1" applyFill="1" applyBorder="1" applyAlignment="1">
      <x:alignment horizontal="center" vertical="center"/>
    </x:xf>
    <x:xf numFmtId="204" fontId="15" fillId="6" borderId="4" xfId="0" applyNumberFormat="1" applyFont="1" applyFill="1" applyBorder="1" applyAlignment="1">
      <x:alignment horizontal="center" vertical="center"/>
    </x:xf>
    <x:xf numFmtId="200" fontId="8" fillId="6" borderId="23" xfId="0" applyNumberFormat="1" applyFont="1" applyFill="1" applyBorder="1"/>
    <x:xf numFmtId="0" fontId="8" fillId="5" borderId="2" xfId="0" applyNumberFormat="1" applyFont="1" applyFill="1" applyBorder="1" applyAlignment="1">
      <x:alignment horizontal="center" vertical="center" wrapText="1"/>
    </x:xf>
    <x:xf numFmtId="204" fontId="6" fillId="0" borderId="0" xfId="0" applyNumberFormat="1" applyFont="1" applyFill="1" applyBorder="1"/>
    <x:xf numFmtId="0" fontId="13" fillId="4" borderId="25" xfId="0" applyNumberFormat="1" applyFont="1" applyFill="1" applyBorder="1"/>
    <x:xf numFmtId="200" fontId="13" fillId="4" borderId="25" xfId="0" applyNumberFormat="1" applyFont="1" applyFill="1" applyBorder="1"/>
    <x:xf numFmtId="203" fontId="13" fillId="4" borderId="26" xfId="0" applyNumberFormat="1" applyFont="1" applyFill="1" applyBorder="1"/>
    <x:xf numFmtId="200" fontId="13" fillId="4" borderId="26" xfId="0" applyNumberFormat="1" applyFont="1" applyFill="1" applyBorder="1"/>
    <x:xf numFmtId="203" fontId="8" fillId="6" borderId="25" xfId="0" applyNumberFormat="1" applyFont="1" applyFill="1" applyBorder="1"/>
    <x:xf numFmtId="203" fontId="8" fillId="6" borderId="26" xfId="0" applyNumberFormat="1" applyFont="1" applyFill="1" applyBorder="1"/>
    <x:xf numFmtId="200" fontId="13" fillId="4" borderId="27" xfId="0" applyNumberFormat="1" applyFont="1" applyFill="1" applyBorder="1"/>
    <x:xf numFmtId="200" fontId="8" fillId="6" borderId="27" xfId="0" applyNumberFormat="1" applyFont="1" applyFill="1" applyBorder="1"/>
    <x:xf numFmtId="0" fontId="14" fillId="0" borderId="1" xfId="0" applyNumberFormat="1" applyFont="1" applyFill="1" applyBorder="1" applyAlignment="1">
      <x:alignment horizontal="center"/>
    </x:xf>
    <x:xf numFmtId="200" fontId="15" fillId="6" borderId="11" xfId="0" applyNumberFormat="1" applyFont="1" applyFill="1" applyBorder="1" applyAlignment="1">
      <x:alignment horizontal="center" vertical="center"/>
    </x:xf>
    <x:xf numFmtId="0" fontId="15" fillId="6" borderId="13" xfId="0" applyNumberFormat="1" applyFont="1" applyFill="1" applyBorder="1" applyAlignment="1">
      <x:alignment horizontal="center" vertical="center"/>
    </x:xf>
    <x:xf numFmtId="0" fontId="15" fillId="6" borderId="14" xfId="0" applyNumberFormat="1" applyFont="1" applyFill="1" applyBorder="1" applyAlignment="1">
      <x:alignment horizontal="center" vertical="center"/>
    </x:xf>
    <x:xf numFmtId="0" fontId="15" fillId="6" borderId="15" xfId="0" applyNumberFormat="1" applyFont="1" applyFill="1" applyBorder="1" applyAlignment="1">
      <x:alignment horizontal="center" vertical="center"/>
    </x:xf>
    <x:xf numFmtId="0" fontId="15" fillId="6" borderId="16" xfId="0" applyNumberFormat="1" applyFont="1" applyFill="1" applyBorder="1" applyAlignment="1">
      <x:alignment horizontal="center" vertical="center"/>
    </x:xf>
    <x:xf numFmtId="0" fontId="15" fillId="6" borderId="17" xfId="0" applyNumberFormat="1" applyFont="1" applyFill="1" applyBorder="1" applyAlignment="1">
      <x:alignment horizontal="center" vertical="center"/>
    </x:xf>
    <x:xf numFmtId="204" fontId="15" fillId="6" borderId="11" xfId="0" applyNumberFormat="1" applyFont="1" applyFill="1" applyBorder="1" applyAlignment="1">
      <x:alignment horizontal="center" vertical="center"/>
    </x:xf>
    <x:xf numFmtId="200" fontId="8" fillId="6" borderId="26" xfId="0" applyNumberFormat="1" applyFont="1" applyFill="1" applyBorder="1"/>
    <x:xf numFmtId="0" fontId="8" fillId="5" borderId="3" xfId="0" applyNumberFormat="1" applyFont="1" applyFill="1" applyBorder="1" applyAlignment="1">
      <x:alignment horizontal="center" vertical="center" wrapText="1"/>
    </x:xf>
    <x:xf numFmtId="204" fontId="6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3" xfId="0" applyNumberFormat="1" applyFont="1" applyFill="1" applyBorder="1"/>
    <x:xf numFmtId="0" fontId="0" fillId="0" borderId="17" xfId="0" applyNumberFormat="1" applyFont="1" applyFill="1" applyBorder="1"/>
    <x:xf numFmtId="0" fontId="0" fillId="0" borderId="14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3" fillId="4" borderId="4" xfId="0" applyNumberFormat="1" applyFont="1" applyFill="1" applyBorder="1"/>
    <x:xf numFmtId="0" fontId="13" fillId="4" borderId="5" xfId="0" applyNumberFormat="1" applyFont="1" applyFill="1" applyBorder="1"/>
    <x:xf numFmtId="200" fontId="13" fillId="4" borderId="5" xfId="0" applyNumberFormat="1" applyFont="1" applyFill="1" applyBorder="1"/>
    <x:xf numFmtId="201" fontId="13" fillId="4" borderId="6" xfId="0" applyNumberFormat="1" applyFont="1" applyFill="1" applyBorder="1"/>
    <x:xf numFmtId="0" fontId="13" fillId="4" borderId="7" xfId="0" applyNumberFormat="1" applyFont="1" applyFill="1" applyBorder="1"/>
    <x:xf numFmtId="0" fontId="13" fillId="4" borderId="0" xfId="0" applyNumberFormat="1" applyFont="1" applyFill="1" applyBorder="1"/>
    <x:xf numFmtId="200" fontId="13" fillId="4" borderId="0" xfId="0" applyNumberFormat="1" applyFont="1" applyFill="1" applyBorder="1"/>
    <x:xf numFmtId="201" fontId="13" fillId="4" borderId="8" xfId="0" applyNumberFormat="1" applyFont="1" applyFill="1" applyBorder="1"/>
    <x:xf numFmtId="0" fontId="13" fillId="4" borderId="9" xfId="0" applyNumberFormat="1" applyFont="1" applyFill="1" applyBorder="1"/>
    <x:xf numFmtId="0" fontId="13" fillId="4" borderId="2" xfId="0" applyNumberFormat="1" applyFont="1" applyFill="1" applyBorder="1"/>
    <x:xf numFmtId="200" fontId="13" fillId="4" borderId="2" xfId="0" applyNumberFormat="1" applyFont="1" applyFill="1" applyBorder="1"/>
    <x:xf numFmtId="201" fontId="13" fillId="4" borderId="10" xfId="0" applyNumberFormat="1" applyFont="1" applyFill="1" applyBorder="1"/>
    <x:xf numFmtId="0" fontId="13" fillId="4" borderId="11" xfId="0" applyNumberFormat="1" applyFont="1" applyFill="1" applyBorder="1"/>
    <x:xf numFmtId="0" fontId="13" fillId="4" borderId="12" xfId="0" applyNumberFormat="1" applyFont="1" applyFill="1" applyBorder="1"/>
    <x:xf numFmtId="200" fontId="13" fillId="4" borderId="12" xfId="0" applyNumberFormat="1" applyFont="1" applyFill="1" applyBorder="1"/>
    <x:xf numFmtId="201" fontId="13" fillId="4" borderId="13" xfId="0" applyNumberFormat="1" applyFont="1" applyFill="1" applyBorder="1"/>
    <x:xf numFmtId="0" fontId="13" fillId="4" borderId="14" xfId="0" applyNumberFormat="1" applyFont="1" applyFill="1" applyBorder="1"/>
    <x:xf numFmtId="0" fontId="13" fillId="4" borderId="1" xfId="0" applyNumberFormat="1" applyFont="1" applyFill="1" applyBorder="1"/>
    <x:xf numFmtId="200" fontId="13" fillId="4" borderId="1" xfId="0" applyNumberFormat="1" applyFont="1" applyFill="1" applyBorder="1"/>
    <x:xf numFmtId="201" fontId="13" fillId="4" borderId="15" xfId="0" applyNumberFormat="1" applyFont="1" applyFill="1" applyBorder="1"/>
    <x:xf numFmtId="0" fontId="13" fillId="4" borderId="16" xfId="0" applyNumberFormat="1" applyFont="1" applyFill="1" applyBorder="1"/>
    <x:xf numFmtId="0" fontId="13" fillId="4" borderId="3" xfId="0" applyNumberFormat="1" applyFont="1" applyFill="1" applyBorder="1"/>
    <x:xf numFmtId="200" fontId="13" fillId="4" borderId="3" xfId="0" applyNumberFormat="1" applyFont="1" applyFill="1" applyBorder="1"/>
    <x:xf numFmtId="201" fontId="13" fillId="4" borderId="17" xfId="0" applyNumberFormat="1" applyFont="1" applyFill="1" applyBorder="1"/>
    <x:xf numFmtId="202" fontId="13" fillId="4" borderId="5" xfId="0" applyNumberFormat="1" applyFont="1" applyFill="1" applyBorder="1"/>
    <x:xf numFmtId="0" fontId="13" fillId="4" borderId="6" xfId="0" applyNumberFormat="1" applyFont="1" applyFill="1" applyBorder="1"/>
    <x:xf numFmtId="202" fontId="13" fillId="4" borderId="0" xfId="0" applyNumberFormat="1" applyFont="1" applyFill="1" applyBorder="1"/>
    <x:xf numFmtId="0" fontId="13" fillId="4" borderId="8" xfId="0" applyNumberFormat="1" applyFont="1" applyFill="1" applyBorder="1"/>
    <x:xf numFmtId="202" fontId="13" fillId="4" borderId="2" xfId="0" applyNumberFormat="1" applyFont="1" applyFill="1" applyBorder="1"/>
    <x:xf numFmtId="0" fontId="13" fillId="4" borderId="10" xfId="0" applyNumberFormat="1" applyFont="1" applyFill="1" applyBorder="1"/>
    <x:xf numFmtId="0" fontId="8" fillId="6" borderId="18" xfId="0" applyNumberFormat="1" applyFont="1" applyFill="1" applyBorder="1"/>
    <x:xf numFmtId="202" fontId="8" fillId="6" borderId="19" xfId="0" applyNumberFormat="1" applyFont="1" applyFill="1" applyBorder="1"/>
    <x:xf numFmtId="202" fontId="13" fillId="4" borderId="12" xfId="0" applyNumberFormat="1" applyFont="1" applyFill="1" applyBorder="1"/>
    <x:xf numFmtId="0" fontId="13" fillId="4" borderId="13" xfId="0" applyNumberFormat="1" applyFont="1" applyFill="1" applyBorder="1"/>
    <x:xf numFmtId="202" fontId="13" fillId="4" borderId="1" xfId="0" applyNumberFormat="1" applyFont="1" applyFill="1" applyBorder="1"/>
    <x:xf numFmtId="0" fontId="13" fillId="4" borderId="15" xfId="0" applyNumberFormat="1" applyFont="1" applyFill="1" applyBorder="1"/>
    <x:xf numFmtId="202" fontId="13" fillId="4" borderId="3" xfId="0" applyNumberFormat="1" applyFont="1" applyFill="1" applyBorder="1"/>
    <x:xf numFmtId="0" fontId="13" fillId="4" borderId="17" xfId="0" applyNumberFormat="1" applyFont="1" applyFill="1" applyBorder="1"/>
    <x:xf numFmtId="0" fontId="8" fillId="6" borderId="20" xfId="0" applyNumberFormat="1" applyFont="1" applyFill="1" applyBorder="1"/>
    <x:xf numFmtId="202" fontId="8" fillId="6" borderId="21" xfId="0" applyNumberFormat="1" applyFont="1" applyFill="1" applyBorder="1"/>
    <x:xf numFmtId="0" fontId="13" fillId="4" borderId="6" xfId="0" applyNumberFormat="1" applyFont="1" applyFill="1" applyBorder="1" applyAlignment="1">
      <x:alignment wrapText="1"/>
    </x:xf>
    <x:xf numFmtId="0" fontId="13" fillId="4" borderId="8" xfId="0" applyNumberFormat="1" applyFont="1" applyFill="1" applyBorder="1" applyAlignment="1">
      <x:alignment wrapText="1"/>
    </x:xf>
    <x:xf numFmtId="0" fontId="13" fillId="4" borderId="10" xfId="0" applyNumberFormat="1" applyFont="1" applyFill="1" applyBorder="1" applyAlignment="1">
      <x:alignment wrapText="1"/>
    </x:xf>
    <x:xf numFmtId="0" fontId="13" fillId="4" borderId="13" xfId="0" applyNumberFormat="1" applyFont="1" applyFill="1" applyBorder="1" applyAlignment="1">
      <x:alignment wrapText="1"/>
    </x:xf>
    <x:xf numFmtId="0" fontId="13" fillId="4" borderId="15" xfId="0" applyNumberFormat="1" applyFont="1" applyFill="1" applyBorder="1" applyAlignment="1">
      <x:alignment wrapText="1"/>
    </x:xf>
    <x:xf numFmtId="0" fontId="13" fillId="4" borderId="17" xfId="0" applyNumberFormat="1" applyFont="1" applyFill="1" applyBorder="1" applyAlignment="1">
      <x:alignment wrapText="1"/>
    </x:xf>
    <x:xf numFmtId="201" fontId="13" fillId="4" borderId="4" xfId="0" applyNumberFormat="1" applyFont="1" applyFill="1" applyBorder="1"/>
    <x:xf numFmtId="201" fontId="13" fillId="4" borderId="5" xfId="0" applyNumberFormat="1" applyFont="1" applyFill="1" applyBorder="1"/>
    <x:xf numFmtId="0" fontId="13" fillId="7" borderId="5" xfId="0" applyNumberFormat="1" applyFont="1" applyFill="1" applyBorder="1"/>
    <x:xf numFmtId="0" fontId="13" fillId="7" borderId="6" xfId="0" applyNumberFormat="1" applyFont="1" applyFill="1" applyBorder="1"/>
    <x:xf numFmtId="201" fontId="13" fillId="4" borderId="7" xfId="0" applyNumberFormat="1" applyFont="1" applyFill="1" applyBorder="1"/>
    <x:xf numFmtId="201" fontId="13" fillId="4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8" xfId="0" applyNumberFormat="1" applyFont="1" applyFill="1" applyBorder="1"/>
    <x:xf numFmtId="0" fontId="13" fillId="9" borderId="0" xfId="0" applyNumberFormat="1" applyFont="1" applyFill="1" applyBorder="1"/>
    <x:xf numFmtId="0" fontId="13" fillId="9" borderId="8" xfId="0" applyNumberFormat="1" applyFont="1" applyFill="1" applyBorder="1"/>
    <x:xf numFmtId="201" fontId="13" fillId="4" borderId="9" xfId="0" applyNumberFormat="1" applyFont="1" applyFill="1" applyBorder="1"/>
    <x:xf numFmtId="201" fontId="13" fillId="4" borderId="2" xfId="0" applyNumberFormat="1" applyFont="1" applyFill="1" applyBorder="1"/>
    <x:xf numFmtId="0" fontId="13" fillId="10" borderId="2" xfId="0" applyNumberFormat="1" applyFont="1" applyFill="1" applyBorder="1"/>
    <x:xf numFmtId="0" fontId="13" fillId="10" borderId="10" xfId="0" applyNumberFormat="1" applyFont="1" applyFill="1" applyBorder="1"/>
    <x:xf numFmtId="201" fontId="13" fillId="4" borderId="11" xfId="0" applyNumberFormat="1" applyFont="1" applyFill="1" applyBorder="1"/>
    <x:xf numFmtId="201" fontId="13" fillId="4" borderId="12" xfId="0" applyNumberFormat="1" applyFont="1" applyFill="1" applyBorder="1"/>
    <x:xf numFmtId="0" fontId="13" fillId="7" borderId="12" xfId="0" applyNumberFormat="1" applyFont="1" applyFill="1" applyBorder="1"/>
    <x:xf numFmtId="0" fontId="13" fillId="7" borderId="13" xfId="0" applyNumberFormat="1" applyFont="1" applyFill="1" applyBorder="1"/>
    <x:xf numFmtId="201" fontId="13" fillId="4" borderId="14" xfId="0" applyNumberFormat="1" applyFont="1" applyFill="1" applyBorder="1"/>
    <x:xf numFmtId="201" fontId="13" fillId="4" borderId="1" xfId="0" applyNumberFormat="1" applyFont="1" applyFill="1" applyBorder="1"/>
    <x:xf numFmtId="0" fontId="13" fillId="8" borderId="1" xfId="0" applyNumberFormat="1" applyFont="1" applyFill="1" applyBorder="1"/>
    <x:xf numFmtId="0" fontId="13" fillId="8" borderId="15" xfId="0" applyNumberFormat="1" applyFont="1" applyFill="1" applyBorder="1"/>
    <x:xf numFmtId="0" fontId="13" fillId="9" borderId="1" xfId="0" applyNumberFormat="1" applyFont="1" applyFill="1" applyBorder="1"/>
    <x:xf numFmtId="0" fontId="13" fillId="9" borderId="15" xfId="0" applyNumberFormat="1" applyFont="1" applyFill="1" applyBorder="1"/>
    <x:xf numFmtId="201" fontId="13" fillId="4" borderId="16" xfId="0" applyNumberFormat="1" applyFont="1" applyFill="1" applyBorder="1"/>
    <x:xf numFmtId="201" fontId="13" fillId="4" borderId="3" xfId="0" applyNumberFormat="1" applyFont="1" applyFill="1" applyBorder="1"/>
    <x:xf numFmtId="0" fontId="13" fillId="10" borderId="3" xfId="0" applyNumberFormat="1" applyFont="1" applyFill="1" applyBorder="1"/>
    <x:xf numFmtId="0" fontId="13" fillId="10" borderId="17" xfId="0" applyNumberFormat="1" applyFont="1" applyFill="1" applyBorder="1"/>
    <x:xf numFmtId="0" fontId="6" fillId="0" borderId="7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D64545"/>
      </x:font>
      <x:fill>
        <x:patternFill patternType="solid">
          <x:bgColor rgb="FFFDE7E7"/>
        </x:patternFill>
      </x:fill>
    </x:dxf>
    <x:dxf>
      <x:font>
        <x:b/>
        <x:color rgb="FF2E8B57"/>
      </x:font>
      <x:fill>
        <x:patternFill patternType="solid">
          <x:bgColor rgb="FFE4F4EA"/>
        </x:patternFill>
      </x:fill>
    </x:dxf>
    <x:dxf>
      <x:font>
        <x:b/>
        <x:color rgb="FFD64545"/>
      </x:font>
      <x:fill>
        <x:patternFill patternType="solid">
          <x:bgColor rgb="FFFDE7E7"/>
        </x:patternFill>
      </x:fill>
    </x:dxf>
    <x:dxf>
      <x:font>
        <x:b/>
        <x:color rgb="FF2E8B57"/>
      </x:font>
      <x:fill>
        <x:patternFill patternType="solid">
          <x:bgColor rgb="FFE4F4EA"/>
        </x:patternFill>
      </x:fill>
    </x:dxf>
    <x:dxf>
      <x:font>
        <x:b/>
        <x:color rgb="FF0B1F33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76794f4344f57" /><Relationship Type="http://schemas.openxmlformats.org/officeDocument/2006/relationships/theme" Target="/xl/theme/theme1.xml" Id="R1338e79c88fa4e36" /><Relationship Type="http://schemas.openxmlformats.org/officeDocument/2006/relationships/sharedStrings" Target="/xl/sharedStrings.xml" Id="Rebe1277edfb7444f" /><Relationship Type="http://schemas.openxmlformats.org/officeDocument/2006/relationships/worksheet" Target="/xl/worksheets/sheet1.xml" Id="R02d30b3977de4dea" /><Relationship Type="http://schemas.openxmlformats.org/officeDocument/2006/relationships/worksheet" Target="/xl/worksheets/sheet2.xml" Id="R0be4e38a6eda4429" /><Relationship Type="http://schemas.openxmlformats.org/officeDocument/2006/relationships/worksheet" Target="/xl/worksheets/sheet3.xml" Id="R8b384893cc6c4d64" /><Relationship Type="http://schemas.openxmlformats.org/officeDocument/2006/relationships/worksheet" Target="/xl/worksheets/sheet4.xml" Id="R9e8b2ecd0a3e4096" /><Relationship Type="http://schemas.openxmlformats.org/officeDocument/2006/relationships/worksheet" Target="/xl/worksheets/sheet5.xml" Id="Re3ea79a324204771" /><Relationship Type="http://schemas.openxmlformats.org/officeDocument/2006/relationships/worksheet" Target="/xl/worksheets/sheet6.xml" Id="R85bf582efb6c4b84" /><Relationship Type="http://schemas.openxmlformats.org/officeDocument/2006/relationships/worksheet" Target="/xl/worksheets/sheet7.xml" Id="R46a10914b4c642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de156f5a3e4c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Atual x cenário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Atual</c:v>
          </c:tx>
          <c:cat>
            <c:strRef>
              <c:f>'Simulador'!$D$29:$D$31</c:f>
              <c:strCache>
                <c:ptCount val="0"/>
              </c:strCache>
            </c:strRef>
          </c:cat>
          <c:val>
            <c:numRef>
              <c:f>'Simulador'!$E$29:$E$31</c:f>
              <c:numCache>
                <c:formatCode>R$ #,##0</c:formatCode>
                <c:ptCount val="0"/>
              </c:numCache>
            </c:numRef>
          </c:val>
        </c:ser>
        <c:ser>
          <c:idx val="1"/>
          <c:order val="1"/>
          <c:tx>
            <c:v>Simulado</c:v>
          </c:tx>
          <c:cat>
            <c:strRef>
              <c:f>'Simulador'!$D$29:$D$31</c:f>
              <c:strCache>
                <c:ptCount val="0"/>
              </c:strCache>
            </c:strRef>
          </c:cat>
          <c:val>
            <c:numRef>
              <c:f>'Simulador'!$F$29:$F$31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32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de156f5a3e4c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asServicoTable" displayName="MetasServicoTable" ref="A4:H10" headerRowCount="1">
  <x:tableColumns count="8">
    <x:tableColumn id="1" name="Código"/>
    <x:tableColumn id="2" name="Serviço"/>
    <x:tableColumn id="3" name="Margem-alvo"/>
    <x:tableColumn id="4" name="Cobertura mínima"/>
    <x:tableColumn id="5" name="Horas extras máxima"/>
    <x:tableColumn id="6" name="Absenteísmo máximo"/>
    <x:tableColumn id="7" name="SLA mínimo"/>
    <x:tableColumn id="8" name="Alerta renovação (dias)"/>
  </x:tableColumns>
  <x:tableStyleInfo name="TableStyleMedium2" showRowStripes="1"/>
</x:table>
</file>

<file path=xl/tables/table2.xml><?xml version="1.0" encoding="utf-8"?>
<x:table xmlns:x="http://schemas.openxmlformats.org/spreadsheetml/2006/main" id="2" name="PesosRiscoTable" displayName="PesosRiscoTable" ref="A4:D9" headerRowCount="1">
  <x:tableColumns count="4">
    <x:tableColumn id="1" name="Pilar"/>
    <x:tableColumn id="2" name="Peso"/>
    <x:tableColumn id="3" name="O que mede"/>
    <x:tableColumn id="4" name="Responsável pela validação"/>
  </x:tableColumns>
  <x:tableStyleInfo name="TableStyleMedium2" showRowStripes="1"/>
</x:table>
</file>

<file path=xl/tables/table3.xml><?xml version="1.0" encoding="utf-8"?>
<x:table xmlns:x="http://schemas.openxmlformats.org/spreadsheetml/2006/main" id="3" name="RecuperabilidadeTable" displayName="RecuperabilidadeTable" ref="A4:E11" headerRowCount="1">
  <x:tableColumns count="5">
    <x:tableColumn id="1" name="Causa"/>
    <x:tableColumn id="2" name="Taxa de recuperação"/>
    <x:tableColumn id="3" name="Prazo típico"/>
    <x:tableColumn id="4" name="Área responsável"/>
    <x:tableColumn id="5" name="Leitura gerencial"/>
  </x:tableColumns>
  <x:tableStyleInfo name="TableStyleMedium2" showRowStripes="1"/>
</x:table>
</file>

<file path=xl/tables/table4.xml><?xml version="1.0" encoding="utf-8"?>
<x:table xmlns:x="http://schemas.openxmlformats.org/spreadsheetml/2006/main" id="4" name="FaixasRiscoTable" displayName="FaixasRiscoTable" ref="A4:E8" headerRowCount="1">
  <x:tableColumns count="5">
    <x:tableColumn id="1" name="Mínimo"/>
    <x:tableColumn id="2" name="Máximo"/>
    <x:tableColumn id="3" name="Classificação"/>
    <x:tableColumn id="4" name="Leitura"/>
    <x:tableColumn id="5" name="Tratamento"/>
  </x:tableColumns>
  <x:tableStyleInfo name="TableStyleMedium2" showRowStripes="1"/>
</x:table>
</file>

<file path=xl/tables/table5.xml><?xml version="1.0" encoding="utf-8"?>
<x:table xmlns:x="http://schemas.openxmlformats.org/spreadsheetml/2006/main" id="5" name="MapaPowerBITable" displayName="MapaPowerBITable" ref="A4:G12" headerRowCount="1">
  <x:tableColumns count="7">
    <x:tableColumn id="1" name="Ordem"/>
    <x:tableColumn id="2" name="Página"/>
    <x:tableColumn id="3" name="Pergunta principal"/>
    <x:tableColumn id="4" name="Visuais centrais"/>
    <x:tableColumn id="5" name="Ação esperada"/>
    <x:tableColumn id="6" name="Drill-through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1db5a33d674d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7d7c1c2a5b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0dee9529640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65fa1ddf3d4a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6fd816183aa49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dd34bda9f0b4d3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6" customHeight="1">
      <x:c r="A1" s="24" t="str">
        <x:v>Margem em Risco — Premissas e Simulador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 ht="26" customHeight="1">
      <x:c r="A2" s="24"/>
      <x:c r="B2" s="24"/>
      <x:c r="C2" s="24"/>
      <x:c r="D2" s="24"/>
      <x:c r="E2" s="24"/>
      <x:c r="F2" s="24"/>
      <x:c r="G2" s="24"/>
      <x:c r="H2" s="24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6" t="str">
        <x:v>Uso do arquivo</x:v>
      </x:c>
      <x:c r="B4" s="26"/>
      <x:c r="C4" s="26"/>
      <x:c r="D4" s="26"/>
      <x:c r="E4" s="26"/>
      <x:c r="F4" s="26"/>
      <x:c r="G4" s="26"/>
      <x:c r="H4" s="26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7" t="str">
        <x:v>Finalidade</x:v>
      </x:c>
      <x:c r="B5" s="28" t="str">
        <x:v>Centralizar as premissas do projeto e testar cenários de recuperação de margem sem alterar o banco.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7" t="str">
        <x:v>Células azuis</x:v>
      </x:c>
      <x:c r="B6" s="28" t="str">
        <x:v>Campos editáveis. São os únicos campos que devem ser alterados no simulador.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7" t="str">
        <x:v>Células brancas</x:v>
      </x:c>
      <x:c r="B7" s="28" t="str">
        <x:v>Resultados calculados por fórmula.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7" t="str">
        <x:v>Percentuais</x:v>
      </x:c>
      <x:c r="B8" s="28" t="str">
        <x:v>Devem ser preenchidos como 5%, 12,5% etc., e não como 5 ou 12,5.</x:v>
      </x:c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7" t="str">
        <x:v>Uso no Power BI</x:v>
      </x:c>
      <x:c r="B9" s="28" t="str">
        <x:v>As premissas oficiais ficam no SQL. Esta planilha serve para revisão com o negócio e simulação gerencial.</x:v>
      </x:c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7" t="str">
        <x:v>Atualização</x:v>
      </x:c>
      <x:c r="B10" s="28" t="str">
        <x:v>Ao mudar uma premissa oficial, registrar a decisão e atualizar o script de parâmetros no repositório.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6" t="str">
        <x:v>Fluxo de uso</x:v>
      </x:c>
      <x:c r="B12" s="26"/>
      <x:c r="C12" s="26"/>
      <x:c r="D12" s="26"/>
      <x:c r="E12" s="26"/>
      <x:c r="F12" s="26"/>
      <x:c r="G12" s="26"/>
      <x:c r="H12" s="26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9" t="str">
        <x:v>1</x:v>
      </x:c>
      <x:c r="B13" s="28" t="str">
        <x:v>Revisar metas e limites por serviço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9" t="str">
        <x:v>2</x:v>
      </x:c>
      <x:c r="B14" s="28" t="str">
        <x:v>Revisar pesos de risco e taxas de recuperação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9" t="str">
        <x:v>3</x:v>
      </x:c>
      <x:c r="B15" s="28" t="str">
        <x:v>Selecionar um contrato e preencher o cenário no Simulador</x:v>
      </x:c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9" t="str">
        <x:v>4</x:v>
      </x:c>
      <x:c r="B16" s="28" t="str">
        <x:v>Comparar margem atual, margem simulada e ajuste mínimo</x:v>
      </x:c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9" t="str">
        <x:v>5</x:v>
      </x:c>
      <x:c r="B17" s="28" t="str">
        <x:v>Levar apenas as premissas aprovadas para o SQL</x:v>
      </x:c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H2"/>
    <x:mergeCell ref="A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6" hidden="0" customWidth="1"/>
    <x:col min="5" max="5" width="20" hidden="0" customWidth="1"/>
    <x:col min="6" max="6" width="20" hidden="0" customWidth="1"/>
    <x:col min="7" max="7" width="14" hidden="0" customWidth="1"/>
    <x:col min="8" max="8" width="22" hidden="0" customWidth="1"/>
  </x:cols>
  <x:sheetData>
    <x:row r="1">
      <x:c r="A1" s="24" t="str">
        <x:v>Metas e limites por tipo de serviço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4"/>
      <x:c r="G2" s="24"/>
      <x:c r="H2" s="24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23" t="str">
        <x:v>Código</x:v>
      </x:c>
      <x:c r="B4" s="223" t="str">
        <x:v>Serviço</x:v>
      </x:c>
      <x:c r="C4" s="223" t="str">
        <x:v>Margem-alvo</x:v>
      </x:c>
      <x:c r="D4" s="223" t="str">
        <x:v>Cobertura mínima</x:v>
      </x:c>
      <x:c r="E4" s="223" t="str">
        <x:v>Horas extras máxima</x:v>
      </x:c>
      <x:c r="F4" s="223" t="str">
        <x:v>Absenteísmo máximo</x:v>
      </x:c>
      <x:c r="G4" s="223" t="str">
        <x:v>SLA mínimo</x:v>
      </x:c>
      <x:c r="H4" s="223" t="str">
        <x:v>Alerta renovação (dias)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71" t="str">
        <x:v>LIMPEZA</x:v>
      </x:c>
      <x:c r="B5" s="272" t="str">
        <x:v>Limpeza e conservação</x:v>
      </x:c>
      <x:c r="C5" s="273" t="n">
        <x:v>0.115</x:v>
      </x:c>
      <x:c r="D5" s="273" t="n">
        <x:v>0.97</x:v>
      </x:c>
      <x:c r="E5" s="273" t="n">
        <x:v>0.06</x:v>
      </x:c>
      <x:c r="F5" s="273" t="n">
        <x:v>0.035</x:v>
      </x:c>
      <x:c r="G5" s="273" t="n">
        <x:v>0.95</x:v>
      </x:c>
      <x:c r="H5" s="274" t="n">
        <x:v>120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75" t="str">
        <x:v>PORTARIA</x:v>
      </x:c>
      <x:c r="B6" s="276" t="str">
        <x:v>Portaria e controle de acesso</x:v>
      </x:c>
      <x:c r="C6" s="277" t="n">
        <x:v>0.125</x:v>
      </x:c>
      <x:c r="D6" s="277" t="n">
        <x:v>0.985</x:v>
      </x:c>
      <x:c r="E6" s="277" t="n">
        <x:v>0.05</x:v>
      </x:c>
      <x:c r="F6" s="277" t="n">
        <x:v>0.03</x:v>
      </x:c>
      <x:c r="G6" s="277" t="n">
        <x:v>0.97</x:v>
      </x:c>
      <x:c r="H6" s="278" t="n">
        <x:v>120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75" t="str">
        <x:v>RECEP</x:v>
      </x:c>
      <x:c r="B7" s="276" t="str">
        <x:v>Recepção</x:v>
      </x:c>
      <x:c r="C7" s="277" t="n">
        <x:v>0.13</x:v>
      </x:c>
      <x:c r="D7" s="277" t="n">
        <x:v>0.98</x:v>
      </x:c>
      <x:c r="E7" s="277" t="n">
        <x:v>0.045</x:v>
      </x:c>
      <x:c r="F7" s="277" t="n">
        <x:v>0.028</x:v>
      </x:c>
      <x:c r="G7" s="277" t="n">
        <x:v>0.97</x:v>
      </x:c>
      <x:c r="H7" s="278" t="n">
        <x:v>120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75" t="str">
        <x:v>MANUT</x:v>
      </x:c>
      <x:c r="B8" s="276" t="str">
        <x:v>Manutenção predial</x:v>
      </x:c>
      <x:c r="C8" s="277" t="n">
        <x:v>0.145</x:v>
      </x:c>
      <x:c r="D8" s="277" t="n">
        <x:v>0.96</x:v>
      </x:c>
      <x:c r="E8" s="277" t="n">
        <x:v>0.07</x:v>
      </x:c>
      <x:c r="F8" s="277" t="n">
        <x:v>0.035</x:v>
      </x:c>
      <x:c r="G8" s="277" t="n">
        <x:v>0.94</x:v>
      </x:c>
      <x:c r="H8" s="278" t="n">
        <x:v>150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75" t="str">
        <x:v>APOIO</x:v>
      </x:c>
      <x:c r="B9" s="276" t="str">
        <x:v>Apoio administrativo</x:v>
      </x:c>
      <x:c r="C9" s="277" t="n">
        <x:v>0.135</x:v>
      </x:c>
      <x:c r="D9" s="277" t="n">
        <x:v>0.98</x:v>
      </x:c>
      <x:c r="E9" s="277" t="n">
        <x:v>0.04</x:v>
      </x:c>
      <x:c r="F9" s="277" t="n">
        <x:v>0.025</x:v>
      </x:c>
      <x:c r="G9" s="277" t="n">
        <x:v>0.97</x:v>
      </x:c>
      <x:c r="H9" s="278" t="n">
        <x:v>120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79" t="str">
        <x:v>FACINT</x:v>
      </x:c>
      <x:c r="B10" s="280" t="str">
        <x:v>Facilities integrados</x:v>
      </x:c>
      <x:c r="C10" s="281" t="n">
        <x:v>0.15</x:v>
      </x:c>
      <x:c r="D10" s="281" t="n">
        <x:v>0.975</x:v>
      </x:c>
      <x:c r="E10" s="281" t="n">
        <x:v>0.055</x:v>
      </x:c>
      <x:c r="F10" s="281" t="n">
        <x:v>0.032</x:v>
      </x:c>
      <x:c r="G10" s="281" t="n">
        <x:v>0.96</x:v>
      </x:c>
      <x:c r="H10" s="282" t="n">
        <x:v>150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5e1db5a33d674d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60" hidden="0" customWidth="1"/>
    <x:col min="4" max="4" width="26" hidden="0" customWidth="1"/>
  </x:cols>
  <x:sheetData>
    <x:row r="1">
      <x:c r="A1" s="24" t="str">
        <x:v>Composição do índice de risco</x:v>
      </x:c>
      <x:c r="B1" s="24"/>
      <x:c r="C1" s="24"/>
      <x:c r="D1" s="24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23" t="str">
        <x:v>Pilar</x:v>
      </x:c>
      <x:c r="B4" s="223" t="str">
        <x:v>Peso</x:v>
      </x:c>
      <x:c r="C4" s="223" t="str">
        <x:v>O que mede</x:v>
      </x:c>
      <x:c r="D4" s="223" t="str">
        <x:v>Responsável pela validação</x:v>
      </x:c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71" t="str">
        <x:v>Financeiro</x:v>
      </x:c>
      <x:c r="B5" s="295" t="n">
        <x:v>0.35</x:v>
      </x:c>
      <x:c r="C5" s="272" t="str">
        <x:v>Margem, vazamento, tendência e custos extraordinários</x:v>
      </x:c>
      <x:c r="D5" s="296" t="str">
        <x:v>Financeiro</x:v>
      </x:c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75" t="str">
        <x:v>Operacional</x:v>
      </x:c>
      <x:c r="B6" s="297" t="n">
        <x:v>0.25</x:v>
      </x:c>
      <x:c r="C6" s="276" t="str">
        <x:v>Cobertura, horas adicionais, vagas e sobrecarga</x:v>
      </x:c>
      <x:c r="D6" s="298" t="str">
        <x:v>Operações</x:v>
      </x:c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75" t="str">
        <x:v>Qualidade e SLA</x:v>
      </x:c>
      <x:c r="B7" s="297" t="n">
        <x:v>0.15</x:v>
      </x:c>
      <x:c r="C7" s="276" t="str">
        <x:v>Prazo, reincidência, criticidade e penalidades</x:v>
      </x:c>
      <x:c r="D7" s="298" t="str">
        <x:v>Qualidade / Operações</x:v>
      </x:c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75" t="str">
        <x:v>Contratual</x:v>
      </x:c>
      <x:c r="B8" s="297" t="n">
        <x:v>0.15</x:v>
      </x:c>
      <x:c r="C8" s="276" t="str">
        <x:v>Reajuste, renovação, descontos e escopo</x:v>
      </x:c>
      <x:c r="D8" s="298" t="str">
        <x:v>Comercial</x:v>
      </x:c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79" t="str">
        <x:v>Pessoas</x:v>
      </x:c>
      <x:c r="B9" s="299" t="n">
        <x:v>0.1</x:v>
      </x:c>
      <x:c r="C9" s="280" t="str">
        <x:v>Absenteísmo, vagas e tempo de reposição</x:v>
      </x:c>
      <x:c r="D9" s="300" t="str">
        <x:v>RH / Operações</x:v>
      </x:c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301" t="str">
        <x:v>Total</x:v>
      </x:c>
      <x:c r="B11" s="302" t="n">
        <x:f>SUM(B5:B9)</x:f>
        <x:v>1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D2"/>
  </x:mergeCells>
  <x:conditionalFormatting sqref="B11:B11">
    <x:cfRule type="expression" dxfId="0" priority="1">
      <x:formula>B11&lt;&gt;100%</x:formula>
    </x:cfRule>
    <x:cfRule type="expression" dxfId="1" priority="2">
      <x:formula>B11=100%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7d7c1c2a5b48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6" hidden="0" customWidth="1"/>
    <x:col min="4" max="4" width="26" hidden="0" customWidth="1"/>
    <x:col min="5" max="5" width="64" hidden="0" customWidth="1"/>
  </x:cols>
  <x:sheetData>
    <x:row r="1">
      <x:c r="A1" s="24" t="str">
        <x:v>Taxas de recuperação por causa de perda</x:v>
      </x:c>
      <x:c r="B1" s="24"/>
      <x:c r="C1" s="24"/>
      <x:c r="D1" s="24"/>
      <x:c r="E1" s="24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23" t="str">
        <x:v>Causa</x:v>
      </x:c>
      <x:c r="B4" s="223" t="str">
        <x:v>Taxa de recuperação</x:v>
      </x:c>
      <x:c r="C4" s="223" t="str">
        <x:v>Prazo típico</x:v>
      </x:c>
      <x:c r="D4" s="223" t="str">
        <x:v>Área responsável</x:v>
      </x:c>
      <x:c r="E4" s="223" t="str">
        <x:v>Leitura gerencial</x:v>
      </x:c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71" t="str">
        <x:v>Reajuste atrasado</x:v>
      </x:c>
      <x:c r="B5" s="295" t="n">
        <x:v>0.7</x:v>
      </x:c>
      <x:c r="C5" s="272" t="str">
        <x:v>30–90 dias</x:v>
      </x:c>
      <x:c r="D5" s="272" t="str">
        <x:v>Comercial</x:v>
      </x:c>
      <x:c r="E5" s="311" t="str">
        <x:v>Parte da perda pode ser recuperada por retroatividade ou novo preço.</x:v>
      </x:c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75" t="str">
        <x:v>Escopo não faturado</x:v>
      </x:c>
      <x:c r="B6" s="297" t="n">
        <x:v>0.6</x:v>
      </x:c>
      <x:c r="C6" s="276" t="str">
        <x:v>30–90 dias</x:v>
      </x:c>
      <x:c r="D6" s="276" t="str">
        <x:v>Comercial / Operações</x:v>
      </x:c>
      <x:c r="E6" s="312" t="str">
        <x:v>Depende de evidência operacional e formalização contratual.</x:v>
      </x:c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75" t="str">
        <x:v>Horas adicionais</x:v>
      </x:c>
      <x:c r="B7" s="297" t="n">
        <x:v>0.45</x:v>
      </x:c>
      <x:c r="C7" s="276" t="str">
        <x:v>30–60 dias</x:v>
      </x:c>
      <x:c r="D7" s="276" t="str">
        <x:v>Operações</x:v>
      </x:c>
      <x:c r="E7" s="312" t="str">
        <x:v>Normalmente exige revisão de escala e cobertura.</x:v>
      </x:c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75" t="str">
        <x:v>Multas e glosas</x:v>
      </x:c>
      <x:c r="B8" s="297" t="n">
        <x:v>0.35</x:v>
      </x:c>
      <x:c r="C8" s="276" t="str">
        <x:v>30–90 dias</x:v>
      </x:c>
      <x:c r="D8" s="276" t="str">
        <x:v>Qualidade / Operações</x:v>
      </x:c>
      <x:c r="E8" s="312" t="str">
        <x:v>A recuperação ocorre pela redução de reincidência, não pela reversão integral.</x:v>
      </x:c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75" t="str">
        <x:v>Cobertura emergencial</x:v>
      </x:c>
      <x:c r="B9" s="297" t="n">
        <x:v>0.3</x:v>
      </x:c>
      <x:c r="C9" s="276" t="str">
        <x:v>30–60 dias</x:v>
      </x:c>
      <x:c r="D9" s="276" t="str">
        <x:v>Operações / RH</x:v>
      </x:c>
      <x:c r="E9" s="312" t="str">
        <x:v>Exige quadro de cobertura e menor tempo de reposição.</x:v>
      </x:c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75" t="str">
        <x:v>Absenteísmo</x:v>
      </x:c>
      <x:c r="B10" s="297" t="n">
        <x:v>0.25</x:v>
      </x:c>
      <x:c r="C10" s="276" t="str">
        <x:v>60–120 dias</x:v>
      </x:c>
      <x:c r="D10" s="276" t="str">
        <x:v>RH / Operações</x:v>
      </x:c>
      <x:c r="E10" s="312" t="str">
        <x:v>A melhora tende a ser gradual e depende da causa.</x:v>
      </x:c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79" t="str">
        <x:v>Materiais e emergências</x:v>
      </x:c>
      <x:c r="B11" s="299" t="n">
        <x:v>0.2</x:v>
      </x:c>
      <x:c r="C11" s="280" t="str">
        <x:v>30–60 dias</x:v>
      </x:c>
      <x:c r="D11" s="280" t="str">
        <x:v>Compras / Operações</x:v>
      </x:c>
      <x:c r="E11" s="313" t="str">
        <x:v>Parte do desvio pode ser tratada por planejamento e fornecedor.</x:v>
      </x:c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4f20dee9529640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44" hidden="0" customWidth="1"/>
    <x:col min="5" max="5" width="32" hidden="0" customWidth="1"/>
  </x:cols>
  <x:sheetData>
    <x:row r="1">
      <x:c r="A1" s="24" t="str">
        <x:v>Faixas de classificação do contrato</x:v>
      </x:c>
      <x:c r="B1" s="24"/>
      <x:c r="C1" s="24"/>
      <x:c r="D1" s="24"/>
      <x:c r="E1" s="24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23" t="str">
        <x:v>Mínimo</x:v>
      </x:c>
      <x:c r="B4" s="223" t="str">
        <x:v>Máximo</x:v>
      </x:c>
      <x:c r="C4" s="223" t="str">
        <x:v>Classificação</x:v>
      </x:c>
      <x:c r="D4" s="223" t="str">
        <x:v>Leitura</x:v>
      </x:c>
      <x:c r="E4" s="223" t="str">
        <x:v>Tratamento</x:v>
      </x:c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317" t="n">
        <x:v>0</x:v>
      </x:c>
      <x:c r="B5" s="318" t="n">
        <x:v>29</x:v>
      </x:c>
      <x:c r="C5" s="319" t="str">
        <x:v>Baixo</x:v>
      </x:c>
      <x:c r="D5" s="319" t="str">
        <x:v>Operação dentro dos limites definidos</x:v>
      </x:c>
      <x:c r="E5" s="320" t="str">
        <x:v>Acompanhar</x:v>
      </x:c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321" t="n">
        <x:v>30</x:v>
      </x:c>
      <x:c r="B6" s="322" t="n">
        <x:v>59</x:v>
      </x:c>
      <x:c r="C6" s="323" t="str">
        <x:v>Atenção</x:v>
      </x:c>
      <x:c r="D6" s="323" t="str">
        <x:v>Sinais de pressão ou desvio pontual</x:v>
      </x:c>
      <x:c r="E6" s="324" t="str">
        <x:v>Corrigir antes de deteriorar</x:v>
      </x:c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321" t="n">
        <x:v>60</x:v>
      </x:c>
      <x:c r="B7" s="322" t="n">
        <x:v>79</x:v>
      </x:c>
      <x:c r="C7" s="325" t="str">
        <x:v>Alto</x:v>
      </x:c>
      <x:c r="D7" s="325" t="str">
        <x:v>Perda ou exposição relevante</x:v>
      </x:c>
      <x:c r="E7" s="326" t="str">
        <x:v>Plano de ação com prazo</x:v>
      </x:c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327" t="n">
        <x:v>80</x:v>
      </x:c>
      <x:c r="B8" s="328" t="n">
        <x:v>100</x:v>
      </x:c>
      <x:c r="C8" s="329" t="str">
        <x:v>Crítico</x:v>
      </x:c>
      <x:c r="D8" s="329" t="str">
        <x:v>Resultado comprometido ou renovação ameaçada</x:v>
      </x:c>
      <x:c r="E8" s="330" t="str">
        <x:v>Intervenção executiva</x:v>
      </x:c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7f65fa1ddf3d4a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4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4" hidden="0" customWidth="1"/>
  </x:cols>
  <x:sheetData>
    <x:row r="1">
      <x:c r="A1" s="24" t="str">
        <x:v>Simulador de recuperação de margem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4"/>
      <x:c r="G2" s="24"/>
      <x:c r="H2" s="24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6" t="str">
        <x:v>Situação atual</x:v>
      </x:c>
      <x:c r="B4" s="26"/>
      <x:c r="C4" s="26"/>
      <x:c r="D4" s="26"/>
      <x:c r="E4" s="26" t="str">
        <x:v>Cenário proposto</x:v>
      </x:c>
      <x:c r="F4" s="26"/>
      <x:c r="G4" s="26"/>
      <x:c r="H4" s="26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7" t="str">
        <x:v>Contrato</x:v>
      </x:c>
      <x:c r="B5" s="206" t="str">
        <x:v>CT-008</x:v>
      </x:c>
      <x:c r="C5" s="25"/>
      <x:c r="D5" s="25"/>
      <x:c r="E5" s="27" t="str">
        <x:v>Reajuste de preço</x:v>
      </x:c>
      <x:c r="F5" s="207" t="n">
        <x:v>0.08</x:v>
      </x:c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7" t="str">
        <x:v>Receita bruta mensal</x:v>
      </x:c>
      <x:c r="B6" s="208" t="n">
        <x:v>480000</x:v>
      </x:c>
      <x:c r="C6" s="25"/>
      <x:c r="D6" s="25"/>
      <x:c r="E6" s="27" t="str">
        <x:v>Receita adicional por escopo</x:v>
      </x:c>
      <x:c r="F6" s="208" t="n">
        <x:v>25000</x:v>
      </x:c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7" t="str">
        <x:v>Multas, glosas e descontos</x:v>
      </x:c>
      <x:c r="B7" s="208" t="n">
        <x:v>18000</x:v>
      </x:c>
      <x:c r="C7" s="25"/>
      <x:c r="D7" s="25"/>
      <x:c r="E7" s="27" t="str">
        <x:v>Redução de multas/glosas</x:v>
      </x:c>
      <x:c r="F7" s="209" t="n">
        <x:v>0.5</x:v>
      </x:c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7" t="str">
        <x:v>Receita líquida mensal</x:v>
      </x:c>
      <x:c r="B8" s="210" t="n">
        <x:f>B6-B7</x:f>
        <x:v>462000</x:v>
      </x:c>
      <x:c r="C8" s="25"/>
      <x:c r="D8" s="25"/>
      <x:c r="E8" s="27" t="str">
        <x:v>Redução de horas adicionais</x:v>
      </x:c>
      <x:c r="F8" s="209" t="n">
        <x:v>0.35</x:v>
      </x:c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7" t="str">
        <x:v>Custo operacional total</x:v>
      </x:c>
      <x:c r="B9" s="211" t="n">
        <x:v>430000</x:v>
      </x:c>
      <x:c r="C9" s="25"/>
      <x:c r="D9" s="25"/>
      <x:c r="E9" s="27" t="str">
        <x:v>Redução de cobertura emergencial</x:v>
      </x:c>
      <x:c r="F9" s="212" t="n">
        <x:v>0.25</x:v>
      </x:c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7" t="str">
        <x:v>Custo de horas adicionais</x:v>
      </x:c>
      <x:c r="B10" s="211" t="n">
        <x:v>26000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7" t="str">
        <x:v>Custo de cobertura emergencial</x:v>
      </x:c>
      <x:c r="B11" s="211" t="n">
        <x:v>12000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7" t="str">
        <x:v>Margem atual</x:v>
      </x:c>
      <x:c r="B12" s="211" t="n">
        <x:f>B8-B9</x:f>
        <x:v>32000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7" t="str">
        <x:v>Margem atual %</x:v>
      </x:c>
      <x:c r="B13" s="213" t="n">
        <x:f>IFERROR(B12/B8,0)</x:f>
        <x:v>0.06926406926406926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7" t="str">
        <x:v>Margem-alvo</x:v>
      </x:c>
      <x:c r="B14" s="212" t="n">
        <x:v>0.15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6" t="str">
        <x:v>Resultado do cenário</x:v>
      </x:c>
      <x:c r="B17" s="26"/>
      <x:c r="C17" s="26"/>
      <x:c r="D17" s="26"/>
      <x:c r="E17" s="26"/>
      <x:c r="F17" s="26"/>
      <x:c r="G17" s="26"/>
      <x:c r="H17" s="26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7" t="str">
        <x:v>Receita bruta simulada</x:v>
      </x:c>
      <x:c r="B18" s="210" t="n">
        <x:f>B6*(1+F5)+F6</x:f>
        <x:v>543400</x:v>
      </x:c>
      <x:c r="C18" s="25"/>
      <x:c r="D18" s="214" t="str">
        <x:v>Margem atual</x:v>
      </x:c>
      <x:c r="E18" s="25"/>
      <x:c r="F18" s="214" t="str">
        <x:v>Margem simulada</x:v>
      </x:c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7" t="str">
        <x:v>Deduções simuladas</x:v>
      </x:c>
      <x:c r="B19" s="211" t="n">
        <x:f>B7*(1-F7)</x:f>
        <x:v>9000</x:v>
      </x:c>
      <x:c r="C19" s="25"/>
      <x:c r="D19" s="215" t="n">
        <x:f>B13</x:f>
        <x:v>0.06926406926406926</x:v>
      </x:c>
      <x:c r="E19" s="216"/>
      <x:c r="F19" s="215" t="n">
        <x:f>B26</x:f>
        <x:v>0.21800149700598803</x:v>
      </x:c>
      <x:c r="G19" s="216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7" t="str">
        <x:v>Receita líquida simulada</x:v>
      </x:c>
      <x:c r="B20" s="211" t="n">
        <x:f>B18-B19</x:f>
        <x:v>534400</x:v>
      </x:c>
      <x:c r="C20" s="25"/>
      <x:c r="D20" s="217"/>
      <x:c r="E20" s="218"/>
      <x:c r="F20" s="217"/>
      <x:c r="G20" s="218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7" t="str">
        <x:v>Custo de horas adicionais simulado</x:v>
      </x:c>
      <x:c r="B21" s="211" t="n">
        <x:f>B10*(1-F8)</x:f>
        <x:v>16900</x:v>
      </x:c>
      <x:c r="C21" s="25"/>
      <x:c r="D21" s="219"/>
      <x:c r="E21" s="220"/>
      <x:c r="F21" s="219"/>
      <x:c r="G21" s="220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7" t="str">
        <x:v>Custo de cobertura simulado</x:v>
      </x:c>
      <x:c r="B22" s="211" t="n">
        <x:f>B11*(1-F9)</x:f>
        <x:v>9000</x:v>
      </x:c>
      <x:c r="C22" s="25"/>
      <x:c r="D22" s="214" t="str">
        <x:v>Ganho mensal</x:v>
      </x:c>
      <x:c r="E22" s="25"/>
      <x:c r="F22" s="214" t="str">
        <x:v>Ganho anual</x:v>
      </x:c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7" t="str">
        <x:v>Outros custos</x:v>
      </x:c>
      <x:c r="B23" s="211" t="n">
        <x:f>B9-B10-B11</x:f>
        <x:v>392000</x:v>
      </x:c>
      <x:c r="C23" s="25"/>
      <x:c r="D23" s="221" t="n">
        <x:f>B27</x:f>
        <x:v>84500</x:v>
      </x:c>
      <x:c r="E23" s="216"/>
      <x:c r="F23" s="221" t="n">
        <x:f>B28</x:f>
        <x:v>1014000</x:v>
      </x:c>
      <x:c r="G23" s="216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7" t="str">
        <x:v>Custo total simulado</x:v>
      </x:c>
      <x:c r="B24" s="211" t="n">
        <x:f>B21+B22+B23</x:f>
        <x:v>417900</x:v>
      </x:c>
      <x:c r="C24" s="25"/>
      <x:c r="D24" s="217"/>
      <x:c r="E24" s="218"/>
      <x:c r="F24" s="217"/>
      <x:c r="G24" s="218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7" t="str">
        <x:v>Margem simulada</x:v>
      </x:c>
      <x:c r="B25" s="211" t="n">
        <x:f>B20-B24</x:f>
        <x:v>116500</x:v>
      </x:c>
      <x:c r="C25" s="25"/>
      <x:c r="D25" s="219"/>
      <x:c r="E25" s="220"/>
      <x:c r="F25" s="219"/>
      <x:c r="G25" s="220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7" t="str">
        <x:v>Margem simulada %</x:v>
      </x:c>
      <x:c r="B26" s="222" t="n">
        <x:f>IFERROR(B25/B20,0)</x:f>
        <x:v>0.21800149700598803</x:v>
      </x:c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7" t="str">
        <x:v>Ganho mensal de margem</x:v>
      </x:c>
      <x:c r="B27" s="211" t="n">
        <x:f>B25-B12</x:f>
        <x:v>84500</x:v>
      </x:c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7" t="str">
        <x:v>Ganho anualizado</x:v>
      </x:c>
      <x:c r="B28" s="211" t="n">
        <x:f>B27*12</x:f>
        <x:v>1014000</x:v>
      </x:c>
      <x:c r="C28" s="25"/>
      <x:c r="D28" s="223" t="str">
        <x:v>Indicador</x:v>
      </x:c>
      <x:c r="E28" s="223" t="str">
        <x:v>Atual</x:v>
      </x:c>
      <x:c r="F28" s="223" t="str">
        <x:v>Simulado</x:v>
      </x:c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7" t="str">
        <x:v>Reajuste mínimo para atingir a meta</x:v>
      </x:c>
      <x:c r="B29" s="213" t="n">
        <x:f>MAX(0,((B24/(1-B14))+B19-F6-B6)/B6)</x:f>
        <x:v>0</x:v>
      </x:c>
      <x:c r="C29" s="25"/>
      <x:c r="D29" s="25" t="str">
        <x:v>Receita líquida</x:v>
      </x:c>
      <x:c r="E29" s="224" t="n">
        <x:f>B8</x:f>
        <x:v>462000</x:v>
      </x:c>
      <x:c r="F29" s="224" t="n">
        <x:f>B20</x:f>
        <x:v>534400</x:v>
      </x:c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 t="str">
        <x:v>Custo total</x:v>
      </x:c>
      <x:c r="E30" s="224" t="n">
        <x:f>B9</x:f>
        <x:v>430000</x:v>
      </x:c>
      <x:c r="F30" s="224" t="n">
        <x:f>B24</x:f>
        <x:v>417900</x:v>
      </x:c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 t="str">
        <x:v>Margem</x:v>
      </x:c>
      <x:c r="E31" s="224" t="n">
        <x:f>B12</x:f>
        <x:v>32000</x:v>
      </x:c>
      <x:c r="F31" s="224" t="n">
        <x:f>B25</x:f>
        <x:v>116500</x:v>
      </x:c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H2"/>
    <x:mergeCell ref="A4:D4"/>
    <x:mergeCell ref="E4:H4"/>
    <x:mergeCell ref="A17:H17"/>
    <x:mergeCell ref="D19:E21"/>
    <x:mergeCell ref="F19:G21"/>
    <x:mergeCell ref="D23:E25"/>
    <x:mergeCell ref="F23:G25"/>
  </x:mergeCells>
  <x:conditionalFormatting sqref="B13:B13">
    <x:cfRule type="expression" dxfId="2" priority="1">
      <x:formula>B13&lt;B14</x:formula>
    </x:cfRule>
  </x:conditionalFormatting>
  <x:conditionalFormatting sqref="B26:B26">
    <x:cfRule type="expression" dxfId="3" priority="2">
      <x:formula>B26&gt;=B14</x:formula>
    </x:cfRule>
    <x:cfRule type="expression" dxfId="4" priority="3">
      <x:formula>B26&lt;B14</x:formula>
    </x:cfRule>
  </x:conditionalFormatting>
  <x:pageMargins left="0.7" right="0.7" top="0.75" bottom="0.75" header="0.3" footer="0.3"/>
  <x:drawing xmlns:r="http://schemas.openxmlformats.org/officeDocument/2006/relationships" r:id="R36fd816183aa496c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52" hidden="0" customWidth="1"/>
    <x:col min="5" max="5" width="38" hidden="0" customWidth="1"/>
    <x:col min="6" max="6" width="22" hidden="0" customWidth="1"/>
    <x:col min="7" max="7" width="18" hidden="0" customWidth="1"/>
  </x:cols>
  <x:sheetData>
    <x:row r="1">
      <x:c r="A1" s="24" t="str">
        <x:v>Mapa das páginas e decisões do dashboard</x:v>
      </x:c>
      <x:c r="B1" s="24"/>
      <x:c r="C1" s="24"/>
      <x:c r="D1" s="24"/>
      <x:c r="E1" s="24"/>
      <x:c r="F1" s="24"/>
      <x:c r="G1" s="24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4"/>
      <x:c r="G2" s="24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23" t="str">
        <x:v>Ordem</x:v>
      </x:c>
      <x:c r="B4" s="223" t="str">
        <x:v>Página</x:v>
      </x:c>
      <x:c r="C4" s="223" t="str">
        <x:v>Pergunta principal</x:v>
      </x:c>
      <x:c r="D4" s="223" t="str">
        <x:v>Visuais centrais</x:v>
      </x:c>
      <x:c r="E4" s="223" t="str">
        <x:v>Ação esperada</x:v>
      </x:c>
      <x:c r="F4" s="223" t="str">
        <x:v>Drill-through</x:v>
      </x:c>
      <x:c r="G4" s="223" t="str">
        <x:v>Status</x:v>
      </x:c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345" t="n">
        <x:v>1</x:v>
      </x:c>
      <x:c r="B5" s="346" t="str">
        <x:v>Central Executiva</x:v>
      </x:c>
      <x:c r="C5" s="347" t="str">
        <x:v>Onde a margem está sendo perdida e o que exige decisão agora?</x:v>
      </x:c>
      <x:c r="D5" s="347" t="str">
        <x:v>KPIs, evolução, matriz margem x risco, fila de ação</x:v>
      </x:c>
      <x:c r="E5" s="347" t="str">
        <x:v>Priorizar contratos</x:v>
      </x:c>
      <x:c r="F5" s="347" t="str">
        <x:v>Contrato 360º</x:v>
      </x:c>
      <x:c r="G5" s="348" t="str">
        <x:v>Planejada</x:v>
      </x:c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345" t="n">
        <x:v>2</x:v>
      </x:c>
      <x:c r="B6" s="346" t="str">
        <x:v>Portfólio</x:v>
      </x:c>
      <x:c r="C6" s="347" t="str">
        <x:v>Quais contratos combinam alta receita, baixa margem e alto risco?</x:v>
      </x:c>
      <x:c r="D6" s="347" t="str">
        <x:v>Dispersão, ranking, segmentadores e tabela comparativa</x:v>
      </x:c>
      <x:c r="E6" s="347" t="str">
        <x:v>Selecionar contrato</x:v>
      </x:c>
      <x:c r="F6" s="347" t="str">
        <x:v>Contrato 360º</x:v>
      </x:c>
      <x:c r="G6" s="348" t="str">
        <x:v>Planejada</x:v>
      </x:c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345" t="n">
        <x:v>3</x:v>
      </x:c>
      <x:c r="B7" s="346" t="str">
        <x:v>Contrato 360º</x:v>
      </x:c>
      <x:c r="C7" s="347" t="str">
        <x:v>O problema é preço, operação, qualidade ou pessoas?</x:v>
      </x:c>
      <x:c r="D7" s="347" t="str">
        <x:v>Ponte de perdas, tendência, pilares, linha do tempo</x:v>
      </x:c>
      <x:c r="E7" s="347" t="str">
        <x:v>Definir tratamento</x:v>
      </x:c>
      <x:c r="F7" s="347" t="str">
        <x:v>Simulação</x:v>
      </x:c>
      <x:c r="G7" s="348" t="str">
        <x:v>Planejada</x:v>
      </x:c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345" t="n">
        <x:v>4</x:v>
      </x:c>
      <x:c r="B8" s="346" t="str">
        <x:v>Eficiência Operacional</x:v>
      </x:c>
      <x:c r="C8" s="347" t="str">
        <x:v>Onde cobertura, horas adicionais e vagas pressionam o custo?</x:v>
      </x:c>
      <x:c r="D8" s="347" t="str">
        <x:v>Cobertura, absenteísmo, horas extras, reposição</x:v>
      </x:c>
      <x:c r="E8" s="347" t="str">
        <x:v>Corrigir escala e cobertura</x:v>
      </x:c>
      <x:c r="F8" s="347" t="str">
        <x:v>Contrato 360º</x:v>
      </x:c>
      <x:c r="G8" s="348" t="str">
        <x:v>Planejada</x:v>
      </x:c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345" t="n">
        <x:v>5</x:v>
      </x:c>
      <x:c r="B9" s="346" t="str">
        <x:v>Qualidade e SLA</x:v>
      </x:c>
      <x:c r="C9" s="347" t="str">
        <x:v>Quais falhas geram reincidência e impacto financeiro?</x:v>
      </x:c>
      <x:c r="D9" s="347" t="str">
        <x:v>SLA, criticidade, causas, multas e tempo de resolução</x:v>
      </x:c>
      <x:c r="E9" s="347" t="str">
        <x:v>Plano de recuperação</x:v>
      </x:c>
      <x:c r="F9" s="347" t="str">
        <x:v>Contrato 360º</x:v>
      </x:c>
      <x:c r="G9" s="348" t="str">
        <x:v>Planejada</x:v>
      </x:c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345" t="n">
        <x:v>6</x:v>
      </x:c>
      <x:c r="B10" s="346" t="str">
        <x:v>Reajustes e Renovação</x:v>
      </x:c>
      <x:c r="C10" s="347" t="str">
        <x:v>Quais contratos precisam de ação comercial antes da renovação?</x:v>
      </x:c>
      <x:c r="D10" s="347" t="str">
        <x:v>Pipeline, defasagem, retroatividade e dias para renovação</x:v>
      </x:c>
      <x:c r="E10" s="347" t="str">
        <x:v>Renegociar ou revisar renovação</x:v>
      </x:c>
      <x:c r="F10" s="347" t="str">
        <x:v>Contrato 360º</x:v>
      </x:c>
      <x:c r="G10" s="348" t="str">
        <x:v>Planejada</x:v>
      </x:c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345" t="n">
        <x:v>7</x:v>
      </x:c>
      <x:c r="B11" s="346" t="str">
        <x:v>Efeito das Ações</x:v>
      </x:c>
      <x:c r="C11" s="347" t="str">
        <x:v>As intervenções executadas melhoraram o contrato?</x:v>
      </x:c>
      <x:c r="D11" s="347" t="str">
        <x:v>Antes/depois, margem, cobertura, SLA e impacto realizado</x:v>
      </x:c>
      <x:c r="E11" s="347" t="str">
        <x:v>Manter, ajustar ou encerrar plano</x:v>
      </x:c>
      <x:c r="F11" s="347" t="str">
        <x:v>Contrato 360º</x:v>
      </x:c>
      <x:c r="G11" s="348" t="str">
        <x:v>Planejada</x:v>
      </x:c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349" t="n">
        <x:v>8</x:v>
      </x:c>
      <x:c r="B12" s="350" t="str">
        <x:v>Metodologia</x:v>
      </x:c>
      <x:c r="C12" s="351" t="str">
        <x:v>Como os indicadores e o score foram calculados?</x:v>
      </x:c>
      <x:c r="D12" s="351" t="str">
        <x:v>Dicionário, regras, limites e atualização</x:v>
      </x:c>
      <x:c r="E12" s="351" t="str">
        <x:v>Auditar o modelo</x:v>
      </x:c>
      <x:c r="F12" s="351" t="str">
        <x:v>—</x:v>
      </x:c>
      <x:c r="G12" s="352" t="str">
        <x:v>Planejada</x:v>
      </x:c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</x:sheetData>
  <x:mergeCells>
    <x:mergeCell ref="A1:G2"/>
  </x:mergeCells>
  <x:dataValidations count="1">
    <x:dataValidation type="list" sqref="G5:G12">
      <x:formula1>"Planejada,Em construção,Concluída,Revisar"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d34bda9f0b4d33"/>
  </x:tableParts>
</x:worksheet>
</file>